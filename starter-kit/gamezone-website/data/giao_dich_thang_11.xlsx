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Rekkei_edu\IT_108_K26\session_20\starter-kit\gamezone-website\data\"/>
    </mc:Choice>
  </mc:AlternateContent>
  <xr:revisionPtr revIDLastSave="0" documentId="13_ncr:1_{88DE029F-B8F2-4EFD-A271-37D29EBB5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<sst xmlns="http://schemas.openxmlformats.org/spreadsheetml/2006/main" count="51" uniqueCount="33">
  <si>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</si>
  <si>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</si>
  <si>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</si>
  <si>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</si>
  <si>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</si>
  <si>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</si>
  <si>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</si>
  <si>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</si>
  <si>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</si>
  <si>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</si>
  <si>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</si>
  <si>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</si>
  <si>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</si>
  <si>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</si>
  <si>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</si>
  <si>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</si>
  <si>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</si>
  <si>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</si>
  <si>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</si>
  <si>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</si>
  <si>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</si>
  <si>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</si>
  <si>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</si>
  <si>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</si>
  <si>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</si>
  <si>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</si>
  <si>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</si>
  <si>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</si>
  <si>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</si>
  <si>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</si>
  <si>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</si>
  <si>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</si>
  <si>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 xml:space="preserve">thanh_tien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</si>
</sst>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zoomScale="145" zoomScaleNormal="145" workbookViewId="0">
      <selection activeCell="H12" sqref="H12"/>
    </sheetView>
  </sheetViews>
  <sheetFormatPr defaultRowHeight="14.4" x14ac:dyDescent="0.3"/>
  <cols>
    <col min="4" max="4" width="15.21875" customWidth="1"/>
    <col min="6" max="6" width="1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32</v>
      </c>
    </row>
    <row r="2" spans="1:6" hidden="1" x14ac:dyDescent="0.3">
      <c r="A2" t="s">
        <v>3</v>
      </c>
      <c r="B2" t="s">
        <v>4</v>
      </c>
      <c r="C2">
        <v>1</v>
      </c>
      <c r="D2" t="str">
        <f>VLOOKUP(B2,VatPham!$A$1:$C$7,2,0)</f>
        <v>Ao Giap Vang</v>
      </c>
      <c r="E2">
        <f>VLOOKUP(B2,VatPham!$A$1:$C$7,3,0)</f>
        <v>250000</v>
      </c>
      <c r="F2">
        <f>(C2*E2)</f>
        <v>250000</v>
      </c>
    </row>
    <row r="3" spans="1:6" hidden="1" x14ac:dyDescent="0.3">
      <c r="A3" t="s">
        <v>5</v>
      </c>
      <c r="B3" t="s">
        <v>6</v>
      </c>
      <c r="C3">
        <v>1</v>
      </c>
      <c r="D3" t="str">
        <f>VLOOKUP(B3,VatPham!$A$1:$C$7,2,0)</f>
        <v>Nhan Ma Thuat</v>
      </c>
      <c r="E3">
        <f>VLOOKUP(B3,VatPham!$A$1:$C$7,3,0)</f>
        <v>99000</v>
      </c>
      <c r="F3">
        <f t="shared" ref="F3:F16" si="0">(C3*E3)</f>
        <v>99000</v>
      </c>
    </row>
    <row r="4" spans="1:6" x14ac:dyDescent="0.3">
      <c r="A4" t="s">
        <v>7</v>
      </c>
      <c r="B4" t="s">
        <v>8</v>
      </c>
      <c r="C4">
        <v>5</v>
      </c>
      <c r="D4" t="str">
        <f>VLOOKUP(B4,VatPham!$A$1:$C$7,2,0)</f>
        <v>Giay Toc Do</v>
      </c>
      <c r="E4">
        <f>VLOOKUP(B4,VatPham!$A$1:$C$7,3,0)</f>
        <v>150000</v>
      </c>
      <c r="F4">
        <f t="shared" si="0"/>
        <v>750000</v>
      </c>
    </row>
    <row r="5" spans="1:6" x14ac:dyDescent="0.3">
      <c r="A5" t="s">
        <v>9</v>
      </c>
      <c r="B5" t="s">
        <v>6</v>
      </c>
      <c r="C5">
        <v>5</v>
      </c>
      <c r="D5" t="str">
        <f>VLOOKUP(B5,VatPham!$A$1:$C$7,2,0)</f>
        <v>Nhan Ma Thuat</v>
      </c>
      <c r="E5">
        <f>VLOOKUP(B5,VatPham!$A$1:$C$7,3,0)</f>
        <v>99000</v>
      </c>
      <c r="F5">
        <f t="shared" si="0"/>
        <v>495000</v>
      </c>
    </row>
    <row r="6" spans="1:6" hidden="1" x14ac:dyDescent="0.3">
      <c r="A6" t="s">
        <v>10</v>
      </c>
      <c r="B6" t="s">
        <v>11</v>
      </c>
      <c r="C6">
        <v>3</v>
      </c>
      <c r="D6" t="str">
        <f>VLOOKUP(B6,VatPham!$A$1:$C$7,2,0)</f>
        <v>Binh May</v>
      </c>
      <c r="E6">
        <f>VLOOKUP(B6,VatPham!$A$1:$C$7,3,0)</f>
        <v>20000</v>
      </c>
      <c r="F6">
        <f t="shared" si="0"/>
        <v>60000</v>
      </c>
    </row>
    <row r="7" spans="1:6" x14ac:dyDescent="0.3">
      <c r="A7" t="s">
        <v>12</v>
      </c>
      <c r="B7" t="s">
        <v>6</v>
      </c>
      <c r="C7">
        <v>4</v>
      </c>
      <c r="D7" t="str">
        <f>VLOOKUP(B7,VatPham!$A$1:$C$7,2,0)</f>
        <v>Nhan Ma Thuat</v>
      </c>
      <c r="E7">
        <f>VLOOKUP(B7,VatPham!$A$1:$C$7,3,0)</f>
        <v>99000</v>
      </c>
      <c r="F7">
        <f t="shared" si="0"/>
        <v>396000</v>
      </c>
    </row>
    <row r="8" spans="1:6" x14ac:dyDescent="0.3">
      <c r="A8" t="s">
        <v>13</v>
      </c>
      <c r="B8" t="s">
        <v>8</v>
      </c>
      <c r="C8">
        <v>6</v>
      </c>
      <c r="D8" t="str">
        <f>VLOOKUP(B8,VatPham!$A$1:$C$7,2,0)</f>
        <v>Giay Toc Do</v>
      </c>
      <c r="E8">
        <f>VLOOKUP(B8,VatPham!$A$1:$C$7,3,0)</f>
        <v>150000</v>
      </c>
      <c r="F8">
        <f t="shared" si="0"/>
        <v>900000</v>
      </c>
    </row>
    <row r="9" spans="1:6" hidden="1" x14ac:dyDescent="0.3">
      <c r="A9" t="s">
        <v>14</v>
      </c>
      <c r="B9" t="s">
        <v>15</v>
      </c>
      <c r="C9">
        <v>1</v>
      </c>
      <c r="D9" t="str">
        <f>VLOOKUP(B9,VatPham!$A$1:$C$7,2,0)</f>
        <v>Khien Bang</v>
      </c>
      <c r="E9">
        <f>VLOOKUP(B9,VatPham!$A$1:$C$7,3,0)</f>
        <v>85000</v>
      </c>
      <c r="F9">
        <f t="shared" si="0"/>
        <v>85000</v>
      </c>
    </row>
    <row r="10" spans="1:6" hidden="1" x14ac:dyDescent="0.3">
      <c r="A10" t="s">
        <v>16</v>
      </c>
      <c r="B10" t="s">
        <v>11</v>
      </c>
      <c r="C10">
        <v>2</v>
      </c>
      <c r="D10" t="str">
        <f>VLOOKUP(B10,VatPham!$A$1:$C$7,2,0)</f>
        <v>Binh May</v>
      </c>
      <c r="E10">
        <f>VLOOKUP(B10,VatPham!$A$1:$C$7,3,0)</f>
        <v>20000</v>
      </c>
      <c r="F10">
        <f t="shared" si="0"/>
        <v>40000</v>
      </c>
    </row>
    <row r="11" spans="1:6" x14ac:dyDescent="0.3">
      <c r="A11" t="s">
        <v>17</v>
      </c>
      <c r="B11" t="s">
        <v>4</v>
      </c>
      <c r="C11">
        <v>4</v>
      </c>
      <c r="D11" t="str">
        <f>VLOOKUP(B11,VatPham!$A$1:$C$7,2,0)</f>
        <v>Ao Giap Vang</v>
      </c>
      <c r="E11">
        <f>VLOOKUP(B11,VatPham!$A$1:$C$7,3,0)</f>
        <v>250000</v>
      </c>
      <c r="F11">
        <f t="shared" si="0"/>
        <v>1000000</v>
      </c>
    </row>
    <row r="12" spans="1:6" x14ac:dyDescent="0.3">
      <c r="A12" t="s">
        <v>18</v>
      </c>
      <c r="B12" t="s">
        <v>8</v>
      </c>
      <c r="C12">
        <v>5</v>
      </c>
      <c r="D12" t="str">
        <f>VLOOKUP(B12,VatPham!$A$1:$C$7,2,0)</f>
        <v>Giay Toc Do</v>
      </c>
      <c r="E12">
        <f>VLOOKUP(B12,VatPham!$A$1:$C$7,3,0)</f>
        <v>150000</v>
      </c>
      <c r="F12">
        <f t="shared" si="0"/>
        <v>750000</v>
      </c>
    </row>
    <row r="13" spans="1:6" x14ac:dyDescent="0.3">
      <c r="A13" t="s">
        <v>19</v>
      </c>
      <c r="B13" t="s">
        <v>4</v>
      </c>
      <c r="C13">
        <v>2</v>
      </c>
      <c r="D13" t="str">
        <f>VLOOKUP(B13,VatPham!$A$1:$C$7,2,0)</f>
        <v>Ao Giap Vang</v>
      </c>
      <c r="E13">
        <f>VLOOKUP(B13,VatPham!$A$1:$C$7,3,0)</f>
        <v>250000</v>
      </c>
      <c r="F13">
        <f t="shared" si="0"/>
        <v>500000</v>
      </c>
    </row>
    <row r="14" spans="1:6" hidden="1" x14ac:dyDescent="0.3">
      <c r="A14" t="s">
        <v>20</v>
      </c>
      <c r="B14" t="s">
        <v>21</v>
      </c>
      <c r="C14">
        <v>1</v>
      </c>
      <c r="D14" t="str">
        <f>VLOOKUP(B14,VatPham!$A$1:$C$7,2,0)</f>
        <v>Kiem Rong</v>
      </c>
      <c r="E14">
        <f>VLOOKUP(B14,VatPham!$A$1:$C$7,3,0)</f>
        <v>120000</v>
      </c>
      <c r="F14">
        <f t="shared" si="0"/>
        <v>120000</v>
      </c>
    </row>
    <row r="15" spans="1:6" hidden="1" x14ac:dyDescent="0.3">
      <c r="A15" t="s">
        <v>22</v>
      </c>
      <c r="B15" t="s">
        <v>21</v>
      </c>
      <c r="C15">
        <v>2</v>
      </c>
      <c r="D15" t="str">
        <f>VLOOKUP(B15,VatPham!$A$1:$C$7,2,0)</f>
        <v>Kiem Rong</v>
      </c>
      <c r="E15">
        <f>VLOOKUP(B15,VatPham!$A$1:$C$7,3,0)</f>
        <v>120000</v>
      </c>
      <c r="F15">
        <f t="shared" si="0"/>
        <v>240000</v>
      </c>
    </row>
    <row r="16" spans="1:6" x14ac:dyDescent="0.3">
      <c r="A16" t="s">
        <v>23</v>
      </c>
      <c r="B16" t="s">
        <v>4</v>
      </c>
      <c r="C16">
        <v>5</v>
      </c>
      <c r="D16" t="str">
        <f>VLOOKUP(B16,VatPham!$A$1:$C$7,2,0)</f>
        <v>Ao Giap Vang</v>
      </c>
      <c r="E16">
        <f>VLOOKUP(B16,VatPham!$A$1:$C$7,3,0)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45" zoomScaleNormal="145" workbookViewId="0">
      <selection activeCell="B6" sqref="B6"/>
    </sheetView>
  </sheetViews>
  <sheetFormatPr defaultRowHeight="14.4" x14ac:dyDescent="0.3"/>
  <cols>
    <col min="2" max="2" width="13.21875" customWidth="1"/>
  </cols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Hưng Nguyễn</cp:lastModifiedBy>
  <dcterms:created xsi:type="dcterms:W3CDTF">2026-10-26T03:25:49Z</dcterms:created>
  <dcterms:modified xsi:type="dcterms:W3CDTF">2026-10-29T01:56:59Z</dcterms:modified>
</cp:coreProperties>
</file>